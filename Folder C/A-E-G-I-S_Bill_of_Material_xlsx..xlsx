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cumentation\"/>
    </mc:Choice>
  </mc:AlternateContent>
  <xr:revisionPtr revIDLastSave="0" documentId="8_{0B1CBCE7-759E-4543-980A-18177361F5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lete BOM" sheetId="1" r:id="rId1"/>
    <sheet name="Procurement Notes" sheetId="2" r:id="rId2"/>
  </sheets>
  <definedNames>
    <definedName name="_xlnm._FilterDatabase" localSheetId="0" hidden="1">'Complete BOM'!$A$1:$K$15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J16" i="1" s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<sst xmlns="http://schemas.openxmlformats.org/spreadsheetml/2006/main" count="129" uniqueCount="120">
  <si>
    <t>Component Name</t>
  </si>
  <si>
    <t>Purpose / Specification</t>
  </si>
  <si>
    <t>Quantity</t>
  </si>
  <si>
    <t>Unit Cost Range (ZAR)</t>
  </si>
  <si>
    <t>Minimum Cost (ZAR)</t>
  </si>
  <si>
    <t>Maximum Cost (ZAR)</t>
  </si>
  <si>
    <t>Supplier Name</t>
  </si>
  <si>
    <t>Supplier Stock Code</t>
  </si>
  <si>
    <t>Direct URL / Link to Buy</t>
  </si>
  <si>
    <t>Total Cost Range (ZAR)</t>
  </si>
  <si>
    <t>Notes</t>
  </si>
  <si>
    <t>MG996R Metal-Gear Servo</t>
  </si>
  <si>
    <t>High-torque 180° servo; 3 per leg × 6 legs, plus 2 spares</t>
  </si>
  <si>
    <t>R85–R144</t>
  </si>
  <si>
    <t>Communica / Make Electronics</t>
  </si>
  <si>
    <t>CMU SERVO MOTOR MG996R 11KG 180D / 9ME4004</t>
  </si>
  <si>
    <t>https://www.communica.co.za/products/cmu-servo-motor-mg996r-11kg-180d ; https://make.net.za/product/mg996r-servo-motor-analog-180-degrees/</t>
  </si>
  <si>
    <t>18 required for the robot; 2 spares recommended.</t>
  </si>
  <si>
    <t>ESP32 Dev Board</t>
  </si>
  <si>
    <t>Main microcontroller with Wi-Fi/Bluetooth</t>
  </si>
  <si>
    <t>R98</t>
  </si>
  <si>
    <t>Micro Robotics</t>
  </si>
  <si>
    <t>ESP32-DEV</t>
  </si>
  <si>
    <t>https://www.robotics.org.za/development-boards/ESP32-DEV</t>
  </si>
  <si>
    <t>Current listed price includes VAT.</t>
  </si>
  <si>
    <t>PCA9685 16-Channel Servo Driver</t>
  </si>
  <si>
    <t>External PWM control for servos</t>
  </si>
  <si>
    <t>PCA9685</t>
  </si>
  <si>
    <t>https://www.robotics.org.za/PCA9685</t>
  </si>
  <si>
    <t>Two boards provide up to 32 servo channels.</t>
  </si>
  <si>
    <t>ESP32-CAM Camera Board</t>
  </si>
  <si>
    <t>Remote visual observation</t>
  </si>
  <si>
    <t>R184–R349</t>
  </si>
  <si>
    <t>Neotronics / PriceCheck market listing</t>
  </si>
  <si>
    <t>ESP32-CAM / market listing</t>
  </si>
  <si>
    <t>https://neotronics.co.za/index.php?product_id=1043&amp;route=product/product ; https://www.pricecheck.co.za/offers/209879132/ESP32-CAM%2BDevelopment%2BBoard%2BWifi%2B%2BBluetooth%2B%2B2MP%2BCamera</t>
  </si>
  <si>
    <t>Price depends on exact ESP32-CAM version/supplier.</t>
  </si>
  <si>
    <t>HC-SR04 Ultrasonic Distance Sensor</t>
  </si>
  <si>
    <t>Short-range obstacle detection</t>
  </si>
  <si>
    <t>R24</t>
  </si>
  <si>
    <t>HC-SR04</t>
  </si>
  <si>
    <t>https://www.robotics.org.za/HC-SR04</t>
  </si>
  <si>
    <t>2–400 cm nominal range.</t>
  </si>
  <si>
    <t>MPU6050 IMU</t>
  </si>
  <si>
    <t>Acceleration and gyroscope measurements</t>
  </si>
  <si>
    <t>R86.80–R170</t>
  </si>
  <si>
    <t>Mantech / PriceCheck market listing</t>
  </si>
  <si>
    <t>15M8258 / MPU6050</t>
  </si>
  <si>
    <t>https://www.mantech.co.za/Stock.aspx?Query=Gyroscopeand ; https://www.pricecheck.co.za/offers/248867635/Accelerometer%2BModule%2B-%2BMPU6050</t>
  </si>
  <si>
    <t>Use one 6-axis IMU for orientation/motion estimation.</t>
  </si>
  <si>
    <t>VL53L0X Time-of-Flight Distance Sensor</t>
  </si>
  <si>
    <t>More precise laser/ToF distance sensing</t>
  </si>
  <si>
    <t>R139–R295</t>
  </si>
  <si>
    <t>VL53LOX-SEN / 2490</t>
  </si>
  <si>
    <t>https://www.robotics.org.za/sensors/time-of-flight-sensors</t>
  </si>
  <si>
    <t>Choose one model; the price range reflects two current Micro Robotics listings.</t>
  </si>
  <si>
    <t>18650 Li-ion Battery Cell</t>
  </si>
  <si>
    <t>Robot power source</t>
  </si>
  <si>
    <t>R95–R110</t>
  </si>
  <si>
    <t>Communica</t>
  </si>
  <si>
    <t>LC18650-TAG / INR18650-25HW</t>
  </si>
  <si>
    <t>https://www.communica.co.za/products/lc18650-tag ; https://www.communica.co.za/products/inr18650-25hw</t>
  </si>
  <si>
    <t>Exact battery configuration must be confirmed with the servo power design.</t>
  </si>
  <si>
    <t>4-Cell 18650 Battery Holder</t>
  </si>
  <si>
    <t>Holds four 18650 cells</t>
  </si>
  <si>
    <t>R18–R28</t>
  </si>
  <si>
    <t>18650-WIRE-4X / 18650-PCB-4X</t>
  </si>
  <si>
    <t>https://www.robotics.org.za/18650-WIRE-4X ; https://www.robotics.org.za/18650-PCB-4X</t>
  </si>
  <si>
    <t>Select wire or PCB holder to match the final wiring.</t>
  </si>
  <si>
    <t>4S 40A Li-ion BMS / Protection Board</t>
  </si>
  <si>
    <t>Battery protection and management</t>
  </si>
  <si>
    <t>R43</t>
  </si>
  <si>
    <t>BMT 4S LITH BATT CHARGE/PROT 40A</t>
  </si>
  <si>
    <t>https://www.communica.co.za/products/bmt-4s-lith-batt-charge-prot-40a</t>
  </si>
  <si>
    <t>Only use if the final battery pack is designed as a 4S pack.</t>
  </si>
  <si>
    <t>LM2596 Buck Regulator</t>
  </si>
  <si>
    <t>Voltage regulation for electronics</t>
  </si>
  <si>
    <t>R16–R28</t>
  </si>
  <si>
    <t>LM2596-MINI / LM2596-3POT</t>
  </si>
  <si>
    <t>https://www.robotics.org.za/LM2596-MINI ; https://www.robotics.org.za/LM2596-3POT</t>
  </si>
  <si>
    <t>Select the regulator according to measured load/current.</t>
  </si>
  <si>
    <t>PLA Filament 1.75 mm, 1 kg</t>
  </si>
  <si>
    <t>3D-printed body and leg components</t>
  </si>
  <si>
    <t>R229–R369</t>
  </si>
  <si>
    <t>Micro Robotics / iStore</t>
  </si>
  <si>
    <t>SAF-PLA-102 / SMD-3301010061</t>
  </si>
  <si>
    <t>https://www.robotics.org.za/SAF-PLA-102 ; https://www.istore.co.za/creality-cr-pla-1kg-filament-black-smd-3301010061</t>
  </si>
  <si>
    <t>One 1 kg spool is a starting allowance; actual usage depends on CAD design.</t>
  </si>
  <si>
    <t>26 AWG Hook-up Wire Kit</t>
  </si>
  <si>
    <t>Internal electrical wiring</t>
  </si>
  <si>
    <t>R58–R69</t>
  </si>
  <si>
    <t>WIRE40 / WIRE-KIT</t>
  </si>
  <si>
    <t>https://www.robotics.org.za/WIRE40 ; https://www.robotics.org.za/WIRE-KIT</t>
  </si>
  <si>
    <t>Includes multiple colours for power/signal identification.</t>
  </si>
  <si>
    <t>Jumper Wire Kit</t>
  </si>
  <si>
    <t>Prototype and controller connections</t>
  </si>
  <si>
    <t>R15</t>
  </si>
  <si>
    <t>JUMP-MM-L10</t>
  </si>
  <si>
    <t>https://www.robotics.org.za/JUMP-MM-L10</t>
  </si>
  <si>
    <t>20-piece male-to-male jumper set.</t>
  </si>
  <si>
    <t>TOTAL ESTIMATED BOM COST</t>
  </si>
  <si>
    <t>AEGIS Robo Rescue Spider — BOM Procurement Notes</t>
  </si>
  <si>
    <t>1. What the price range means</t>
  </si>
  <si>
    <t>The unit price range shows the lowest and highest current South African listing found for the same/similar component. It is a budgeting range, not a quotation.</t>
  </si>
  <si>
    <t>2. Total cost</t>
  </si>
  <si>
    <t>The red TOTAL row is the estimated hardware BOM range before delivery. It is calculated from Quantity × Minimum Unit Price and Quantity × Maximum Unit Price.</t>
  </si>
  <si>
    <t>3. Servo quantity</t>
  </si>
  <si>
    <t>20 servos are budgeted: 18 active servos for a 3-DOF × 6-leg hexapod plus 2 spare servos. If you want exactly 18, remove the 2 spares and the total will decrease.</t>
  </si>
  <si>
    <t>4. Battery</t>
  </si>
  <si>
    <t>Four 18650 cells are included, but the final electrical design must confirm whether a 4S battery configuration is appropriate for the servos and regulators.</t>
  </si>
  <si>
    <t>5. Mechanical parts</t>
  </si>
  <si>
    <t>The CAD body/legs are budgeted through one 1 kg PLA spool. Screws, bearings, servo horns/brackets and other mechanical hardware are not included because their exact dimensions/quantities depend on the final CAD design.</t>
  </si>
  <si>
    <t>6. Shipping</t>
  </si>
  <si>
    <t>Courier/delivery charges are excluded because they depend on supplier, order value and delivery location.</t>
  </si>
  <si>
    <t>7. Stock status</t>
  </si>
  <si>
    <t>Stock changes frequently. The supplier link and stock code are included so the team can verify availability immediately before purchasing.</t>
  </si>
  <si>
    <t>8. VAT</t>
  </si>
  <si>
    <t>Where the supplier page states an Inc-VAT price, the BOM uses that price. Mantech search results display prices excluding VAT, so those entries should be checked at checkout before procurement.</t>
  </si>
  <si>
    <t>9. Competition submission</t>
  </si>
  <si>
    <t>For the final submission, keep screenshots/PDF quotations or supplier pages as evidence of the prices used on the BOM.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</si>
</sst>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\ #,##0.00"/>
  </numFmts>
  <fonts count="5" x14ac:knownFonts="1">
    <font>
      <sz val="11"/>
      <color theme="1"/>
      <name val="Trebuchet MS"/>
      <family val="2"/>
      <scheme val="minor"/>
    </font>
    <font>
      <b/>
      <sz val="11"/>
      <color rgb="FFFFFFFF"/>
      <name val="Calibri"/>
      <family val="2"/>
    </font>
    <font>
      <b/>
      <sz val="12"/>
      <color rgb="FF9C0006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40317</xdr:rowOff>
    </xdr:from>
    <xdr:to>
      <xdr:col>1</xdr:col>
      <xdr:colOff>1804385</xdr:colOff>
      <xdr:row>33</xdr:row>
      <xdr:rowOff>63540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BF0E9-131E-640A-192C-49830C7FA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75476"/>
          <a:ext cx="4384702" cy="292608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oneCellAnchor>
    <xdr:from>
      <xdr:col>1</xdr:col>
      <xdr:colOff>2121238</xdr:colOff>
      <xdr:row>15</xdr:row>
      <xdr:rowOff>80966</xdr:rowOff>
    </xdr:from>
    <xdr:ext cx="2863477" cy="89639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6278B93-D3E5-C31F-7AA7-B3ED58EC5B96}"/>
            </a:ext>
          </a:extLst>
        </xdr:cNvPr>
        <xdr:cNvSpPr/>
      </xdr:nvSpPr>
      <xdr:spPr>
        <a:xfrm>
          <a:off x="4701555" y="5433109"/>
          <a:ext cx="2863477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A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E G I S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63" workbookViewId="0">
      <pane ySplit="1" topLeftCell="A5" activePane="bottomLeft" state="frozen"/>
      <selection pane="bottomLeft" activeCell="E20" sqref="E20"/>
    </sheetView>
  </sheetViews>
  <sheetFormatPr defaultRowHeight="14.5" x14ac:dyDescent="0.35"/>
  <cols>
    <col min="1" max="1" width="33.9140625" customWidth="1"/>
    <col min="2" max="2" width="43.9140625" customWidth="1"/>
    <col min="3" max="3" width="10.9140625" customWidth="1"/>
    <col min="4" max="4" width="19.9140625" customWidth="1"/>
    <col min="5" max="6" width="17.9140625" customWidth="1"/>
    <col min="7" max="7" width="29.9140625" customWidth="1"/>
    <col min="8" max="8" width="34.9140625" customWidth="1"/>
    <col min="9" max="9" width="71.9140625" customWidth="1"/>
    <col min="10" max="10" width="22.9140625" customWidth="1"/>
    <col min="11" max="11" width="47.9140625" customWidth="1"/>
  </cols>
  <sheetData>
    <row r="1" spans="1:11" ht="42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29" x14ac:dyDescent="0.35">
      <c r="A2" s="1" t="s">
        <v>11</v>
      </c>
      <c r="B2" s="1" t="s">
        <v>12</v>
      </c>
      <c r="C2" s="1">
        <v>20</v>
      </c>
      <c r="D2" s="1" t="s">
        <v>13</v>
      </c>
      <c r="E2" s="2">
        <v>85</v>
      </c>
      <c r="F2" s="2">
        <v>144</v>
      </c>
      <c r="G2" s="1" t="s">
        <v>14</v>
      </c>
      <c r="H2" s="1" t="s">
        <v>15</v>
      </c>
      <c r="I2" s="1" t="s">
        <v>16</v>
      </c>
      <c r="J2" s="2">
        <f t="shared" ref="J2:J15" si="0">C2*E2</f>
        <v>1700</v>
      </c>
      <c r="K2" s="1" t="s">
        <v>17</v>
      </c>
    </row>
    <row r="3" spans="1:11" x14ac:dyDescent="0.35">
      <c r="A3" s="1" t="s">
        <v>18</v>
      </c>
      <c r="B3" s="1" t="s">
        <v>19</v>
      </c>
      <c r="C3" s="1">
        <v>1</v>
      </c>
      <c r="D3" s="1" t="s">
        <v>20</v>
      </c>
      <c r="E3" s="2">
        <v>98</v>
      </c>
      <c r="F3" s="2">
        <v>98</v>
      </c>
      <c r="G3" s="1" t="s">
        <v>21</v>
      </c>
      <c r="H3" s="1" t="s">
        <v>22</v>
      </c>
      <c r="I3" s="1" t="s">
        <v>23</v>
      </c>
      <c r="J3" s="2">
        <f t="shared" si="0"/>
        <v>98</v>
      </c>
      <c r="K3" s="1" t="s">
        <v>24</v>
      </c>
    </row>
    <row r="4" spans="1:11" x14ac:dyDescent="0.35">
      <c r="A4" s="1" t="s">
        <v>25</v>
      </c>
      <c r="B4" s="1" t="s">
        <v>26</v>
      </c>
      <c r="C4" s="1">
        <v>2</v>
      </c>
      <c r="D4" s="1" t="s">
        <v>20</v>
      </c>
      <c r="E4" s="2">
        <v>98</v>
      </c>
      <c r="F4" s="2">
        <v>98</v>
      </c>
      <c r="G4" s="1" t="s">
        <v>21</v>
      </c>
      <c r="H4" s="1" t="s">
        <v>27</v>
      </c>
      <c r="I4" s="1" t="s">
        <v>28</v>
      </c>
      <c r="J4" s="2">
        <f t="shared" si="0"/>
        <v>196</v>
      </c>
      <c r="K4" s="1" t="s">
        <v>29</v>
      </c>
    </row>
    <row r="5" spans="1:11" ht="43.5" x14ac:dyDescent="0.35">
      <c r="A5" s="1" t="s">
        <v>30</v>
      </c>
      <c r="B5" s="1" t="s">
        <v>31</v>
      </c>
      <c r="C5" s="1">
        <v>1</v>
      </c>
      <c r="D5" s="1" t="s">
        <v>32</v>
      </c>
      <c r="E5" s="2">
        <v>184</v>
      </c>
      <c r="F5" s="2">
        <v>349</v>
      </c>
      <c r="G5" s="1" t="s">
        <v>33</v>
      </c>
      <c r="H5" s="1" t="s">
        <v>34</v>
      </c>
      <c r="I5" s="1" t="s">
        <v>35</v>
      </c>
      <c r="J5" s="2">
        <f t="shared" si="0"/>
        <v>184</v>
      </c>
      <c r="K5" s="1" t="s">
        <v>36</v>
      </c>
    </row>
    <row r="6" spans="1:11" x14ac:dyDescent="0.35">
      <c r="A6" s="1" t="s">
        <v>37</v>
      </c>
      <c r="B6" s="1" t="s">
        <v>38</v>
      </c>
      <c r="C6" s="1">
        <v>2</v>
      </c>
      <c r="D6" s="1" t="s">
        <v>39</v>
      </c>
      <c r="E6" s="2">
        <v>24</v>
      </c>
      <c r="F6" s="2">
        <v>24</v>
      </c>
      <c r="G6" s="1" t="s">
        <v>21</v>
      </c>
      <c r="H6" s="1" t="s">
        <v>40</v>
      </c>
      <c r="I6" s="1" t="s">
        <v>41</v>
      </c>
      <c r="J6" s="2">
        <f t="shared" si="0"/>
        <v>48</v>
      </c>
      <c r="K6" s="1" t="s">
        <v>42</v>
      </c>
    </row>
    <row r="7" spans="1:11" ht="43.5" x14ac:dyDescent="0.35">
      <c r="A7" s="1" t="s">
        <v>43</v>
      </c>
      <c r="B7" s="1" t="s">
        <v>44</v>
      </c>
      <c r="C7" s="1">
        <v>1</v>
      </c>
      <c r="D7" s="1" t="s">
        <v>45</v>
      </c>
      <c r="E7" s="2">
        <v>86.8</v>
      </c>
      <c r="F7" s="2">
        <v>170</v>
      </c>
      <c r="G7" s="1" t="s">
        <v>46</v>
      </c>
      <c r="H7" s="1" t="s">
        <v>47</v>
      </c>
      <c r="I7" s="1" t="s">
        <v>48</v>
      </c>
      <c r="J7" s="2">
        <f t="shared" si="0"/>
        <v>86.8</v>
      </c>
      <c r="K7" s="1" t="s">
        <v>49</v>
      </c>
    </row>
    <row r="8" spans="1:11" ht="29" x14ac:dyDescent="0.35">
      <c r="A8" s="1" t="s">
        <v>50</v>
      </c>
      <c r="B8" s="1" t="s">
        <v>51</v>
      </c>
      <c r="C8" s="1">
        <v>1</v>
      </c>
      <c r="D8" s="1" t="s">
        <v>52</v>
      </c>
      <c r="E8" s="2">
        <v>139</v>
      </c>
      <c r="F8" s="2">
        <v>295</v>
      </c>
      <c r="G8" s="1" t="s">
        <v>21</v>
      </c>
      <c r="H8" s="1" t="s">
        <v>53</v>
      </c>
      <c r="I8" s="1" t="s">
        <v>54</v>
      </c>
      <c r="J8" s="2">
        <f t="shared" si="0"/>
        <v>139</v>
      </c>
      <c r="K8" s="1" t="s">
        <v>55</v>
      </c>
    </row>
    <row r="9" spans="1:11" ht="29" x14ac:dyDescent="0.35">
      <c r="A9" s="1" t="s">
        <v>56</v>
      </c>
      <c r="B9" s="1" t="s">
        <v>57</v>
      </c>
      <c r="C9" s="1">
        <v>4</v>
      </c>
      <c r="D9" s="1" t="s">
        <v>58</v>
      </c>
      <c r="E9" s="2">
        <v>95</v>
      </c>
      <c r="F9" s="2">
        <v>110</v>
      </c>
      <c r="G9" s="1" t="s">
        <v>59</v>
      </c>
      <c r="H9" s="1" t="s">
        <v>60</v>
      </c>
      <c r="I9" s="1" t="s">
        <v>61</v>
      </c>
      <c r="J9" s="2">
        <f t="shared" si="0"/>
        <v>380</v>
      </c>
      <c r="K9" s="1" t="s">
        <v>62</v>
      </c>
    </row>
    <row r="10" spans="1:11" ht="29" x14ac:dyDescent="0.35">
      <c r="A10" s="1" t="s">
        <v>63</v>
      </c>
      <c r="B10" s="1" t="s">
        <v>64</v>
      </c>
      <c r="C10" s="1">
        <v>1</v>
      </c>
      <c r="D10" s="1" t="s">
        <v>65</v>
      </c>
      <c r="E10" s="2">
        <v>18</v>
      </c>
      <c r="F10" s="2">
        <v>28</v>
      </c>
      <c r="G10" s="1" t="s">
        <v>21</v>
      </c>
      <c r="H10" s="1" t="s">
        <v>66</v>
      </c>
      <c r="I10" s="1" t="s">
        <v>67</v>
      </c>
      <c r="J10" s="2">
        <f t="shared" si="0"/>
        <v>18</v>
      </c>
      <c r="K10" s="1" t="s">
        <v>68</v>
      </c>
    </row>
    <row r="11" spans="1:11" ht="29" x14ac:dyDescent="0.35">
      <c r="A11" s="1" t="s">
        <v>69</v>
      </c>
      <c r="B11" s="1" t="s">
        <v>70</v>
      </c>
      <c r="C11" s="1">
        <v>1</v>
      </c>
      <c r="D11" s="1" t="s">
        <v>71</v>
      </c>
      <c r="E11" s="2">
        <v>43</v>
      </c>
      <c r="F11" s="2">
        <v>43</v>
      </c>
      <c r="G11" s="1" t="s">
        <v>59</v>
      </c>
      <c r="H11" s="1" t="s">
        <v>72</v>
      </c>
      <c r="I11" s="1" t="s">
        <v>73</v>
      </c>
      <c r="J11" s="2">
        <f t="shared" si="0"/>
        <v>43</v>
      </c>
      <c r="K11" s="1" t="s">
        <v>74</v>
      </c>
    </row>
    <row r="12" spans="1:11" ht="29" x14ac:dyDescent="0.35">
      <c r="A12" s="1" t="s">
        <v>75</v>
      </c>
      <c r="B12" s="1" t="s">
        <v>76</v>
      </c>
      <c r="C12" s="1">
        <v>1</v>
      </c>
      <c r="D12" s="1" t="s">
        <v>77</v>
      </c>
      <c r="E12" s="2">
        <v>16</v>
      </c>
      <c r="F12" s="2">
        <v>28</v>
      </c>
      <c r="G12" s="1" t="s">
        <v>21</v>
      </c>
      <c r="H12" s="1" t="s">
        <v>78</v>
      </c>
      <c r="I12" s="1" t="s">
        <v>79</v>
      </c>
      <c r="J12" s="2">
        <f t="shared" si="0"/>
        <v>16</v>
      </c>
      <c r="K12" s="1" t="s">
        <v>80</v>
      </c>
    </row>
    <row r="13" spans="1:11" ht="29" x14ac:dyDescent="0.35">
      <c r="A13" s="1" t="s">
        <v>81</v>
      </c>
      <c r="B13" s="1" t="s">
        <v>82</v>
      </c>
      <c r="C13" s="1">
        <v>1</v>
      </c>
      <c r="D13" s="1" t="s">
        <v>83</v>
      </c>
      <c r="E13" s="2">
        <v>229</v>
      </c>
      <c r="F13" s="2">
        <v>369</v>
      </c>
      <c r="G13" s="1" t="s">
        <v>84</v>
      </c>
      <c r="H13" s="1" t="s">
        <v>85</v>
      </c>
      <c r="I13" s="1" t="s">
        <v>86</v>
      </c>
      <c r="J13" s="2">
        <f t="shared" si="0"/>
        <v>229</v>
      </c>
      <c r="K13" s="1" t="s">
        <v>87</v>
      </c>
    </row>
    <row r="14" spans="1:11" ht="29" x14ac:dyDescent="0.35">
      <c r="A14" s="1" t="s">
        <v>88</v>
      </c>
      <c r="B14" s="1" t="s">
        <v>89</v>
      </c>
      <c r="C14" s="1">
        <v>1</v>
      </c>
      <c r="D14" s="1" t="s">
        <v>90</v>
      </c>
      <c r="E14" s="2">
        <v>58</v>
      </c>
      <c r="F14" s="2">
        <v>69</v>
      </c>
      <c r="G14" s="1" t="s">
        <v>21</v>
      </c>
      <c r="H14" s="1" t="s">
        <v>91</v>
      </c>
      <c r="I14" s="1" t="s">
        <v>92</v>
      </c>
      <c r="J14" s="2">
        <f t="shared" si="0"/>
        <v>58</v>
      </c>
      <c r="K14" s="1" t="s">
        <v>93</v>
      </c>
    </row>
    <row r="15" spans="1:11" x14ac:dyDescent="0.35">
      <c r="A15" s="1" t="s">
        <v>94</v>
      </c>
      <c r="B15" s="1" t="s">
        <v>95</v>
      </c>
      <c r="C15" s="1">
        <v>1</v>
      </c>
      <c r="D15" s="1" t="s">
        <v>96</v>
      </c>
      <c r="E15" s="2">
        <v>15</v>
      </c>
      <c r="F15" s="2">
        <v>15</v>
      </c>
      <c r="G15" s="1" t="s">
        <v>21</v>
      </c>
      <c r="H15" s="1" t="s">
        <v>97</v>
      </c>
      <c r="I15" s="1" t="s">
        <v>98</v>
      </c>
      <c r="J15" s="2">
        <f t="shared" si="0"/>
        <v>15</v>
      </c>
      <c r="K15" s="1" t="s">
        <v>99</v>
      </c>
    </row>
    <row r="16" spans="1:11" ht="15.5" x14ac:dyDescent="0.35">
      <c r="A16" s="3" t="s">
        <v>100</v>
      </c>
      <c r="B16" s="3"/>
      <c r="C16" s="3"/>
      <c r="D16" s="3"/>
      <c r="E16" s="4">
        <f>SUM(E2:E15)</f>
        <v>1188.8</v>
      </c>
      <c r="F16" s="4">
        <f>SUM(F2:F15)</f>
        <v>1840</v>
      </c>
      <c r="G16" s="3"/>
      <c r="H16" s="3"/>
      <c r="I16" s="3"/>
      <c r="J16" s="3" t="str">
        <f>TEXT(E16,"R #,##0.00")&amp;" – "&amp;TEXT(F16,"R #,##0.00")</f>
        <v>R 1,188.80 – R 1,840.00</v>
      </c>
      <c r="K16" s="3"/>
    </row>
  </sheetData>
  <autoFilter ref="A1:K15" xr:uid="{00000000-0009-0000-0000-000000000000}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29.9140625" customWidth="1"/>
    <col min="2" max="2" width="109.9140625" customWidth="1"/>
  </cols>
  <sheetData>
    <row r="1" spans="1:2" ht="21" x14ac:dyDescent="0.5">
      <c r="A1" s="5" t="s">
        <v>101</v>
      </c>
    </row>
    <row r="3" spans="1:2" ht="29" x14ac:dyDescent="0.35">
      <c r="A3" s="6" t="s">
        <v>102</v>
      </c>
      <c r="B3" s="7" t="s">
        <v>103</v>
      </c>
    </row>
    <row r="4" spans="1:2" ht="29" x14ac:dyDescent="0.35">
      <c r="A4" s="6" t="s">
        <v>104</v>
      </c>
      <c r="B4" s="7" t="s">
        <v>105</v>
      </c>
    </row>
    <row r="5" spans="1:2" ht="29" x14ac:dyDescent="0.35">
      <c r="A5" s="6" t="s">
        <v>106</v>
      </c>
      <c r="B5" s="7" t="s">
        <v>107</v>
      </c>
    </row>
    <row r="6" spans="1:2" ht="29" x14ac:dyDescent="0.35">
      <c r="A6" s="6" t="s">
        <v>108</v>
      </c>
      <c r="B6" s="7" t="s">
        <v>109</v>
      </c>
    </row>
    <row r="7" spans="1:2" ht="29" x14ac:dyDescent="0.35">
      <c r="A7" s="6" t="s">
        <v>110</v>
      </c>
      <c r="B7" s="7" t="s">
        <v>111</v>
      </c>
    </row>
    <row r="8" spans="1:2" x14ac:dyDescent="0.35">
      <c r="A8" s="6" t="s">
        <v>112</v>
      </c>
      <c r="B8" s="7" t="s">
        <v>113</v>
      </c>
    </row>
    <row r="9" spans="1:2" ht="29" x14ac:dyDescent="0.35">
      <c r="A9" s="6" t="s">
        <v>114</v>
      </c>
      <c r="B9" s="7" t="s">
        <v>115</v>
      </c>
    </row>
    <row r="10" spans="1:2" ht="29" x14ac:dyDescent="0.35">
      <c r="A10" s="6" t="s">
        <v>116</v>
      </c>
      <c r="B10" s="7" t="s">
        <v>117</v>
      </c>
    </row>
    <row r="11" spans="1:2" x14ac:dyDescent="0.35">
      <c r="A11" s="6" t="s">
        <v>118</v>
      </c>
      <c r="B11" s="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BOM</vt:lpstr>
      <vt:lpstr>Procurement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Awande Zubane</cp:lastModifiedBy>
  <cp:lastPrinted>2026-09-09T16:00:14Z</cp:lastPrinted>
  <dcterms:created xsi:type="dcterms:W3CDTF">2026-09-09T15:28:35Z</dcterms:created>
  <dcterms:modified xsi:type="dcterms:W3CDTF">2026-09-09T16:02:50Z</dcterms:modified>
</cp:coreProperties>
</file>